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hase 1 MVP" sheetId="2" state="visible" r:id="rId4"/>
    <sheet name="Phase 2 Automation" sheetId="3" state="visible" r:id="rId5"/>
    <sheet name="Phase 3 SEO" sheetId="4" state="visible" r:id="rId6"/>
    <sheet name="Risk Register" sheetId="5" state="visible" r:id="rId7"/>
    <sheet name="Budg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<sst xmlns="http://schemas.openxmlformats.org/spreadsheetml/2006/main" count="213" uniqueCount="153">
  <si>
    <t xml:space="preserve">M&amp;M AUTO PERFORMANCE - MASTER IMPLEMENTATION ROADMAP</t>
  </si>
  <si>
    <t xml:space="preserve">Project Name</t>
  </si>
  <si>
    <t xml:space="preserve">M&amp;M Auto Performance</t>
  </si>
  <si>
    <t xml:space="preserve">Status</t>
  </si>
  <si>
    <t xml:space="preserve">Phase 1 Planning</t>
  </si>
  <si>
    <t xml:space="preserve">Launch Target</t>
  </si>
  <si>
    <t xml:space="preserve">2026 Q2</t>
  </si>
  <si>
    <t xml:space="preserve">Version</t>
  </si>
  <si>
    <t xml:space="preserve">1.0 - Full Launch</t>
  </si>
  <si>
    <t xml:space="preserve">PHASE</t>
  </si>
  <si>
    <t xml:space="preserve">DURATION</t>
  </si>
  <si>
    <t xml:space="preserve">START</t>
  </si>
  <si>
    <t xml:space="preserve">END</t>
  </si>
  <si>
    <t xml:space="preserve">Phase 1 MVP Launch</t>
  </si>
  <si>
    <t xml:space="preserve">2-3 weeks</t>
  </si>
  <si>
    <t xml:space="preserve">Week 1</t>
  </si>
  <si>
    <t xml:space="preserve">Week 3</t>
  </si>
  <si>
    <t xml:space="preserve">Phase 2 Business Automation</t>
  </si>
  <si>
    <t xml:space="preserve">Week 4</t>
  </si>
  <si>
    <t xml:space="preserve">Week 6</t>
  </si>
  <si>
    <t xml:space="preserve">Phase 3 Local SEO</t>
  </si>
  <si>
    <t xml:space="preserve">Week 7</t>
  </si>
  <si>
    <t xml:space="preserve">Week 9</t>
  </si>
  <si>
    <t xml:space="preserve">SUCCESS CRITERIA</t>
  </si>
  <si>
    <t xml:space="preserve">TARGET</t>
  </si>
  <si>
    <t xml:space="preserve">STATUS</t>
  </si>
  <si>
    <t xml:space="preserve">Booking Completion Rate</t>
  </si>
  <si>
    <t xml:space="preserve">&gt;75%</t>
  </si>
  <si>
    <t xml:space="preserve">Pending</t>
  </si>
  <si>
    <t xml:space="preserve">Average Booking Time</t>
  </si>
  <si>
    <t xml:space="preserve">&lt;3 min</t>
  </si>
  <si>
    <t xml:space="preserve">Document Verification</t>
  </si>
  <si>
    <t xml:space="preserve">&lt;2 min</t>
  </si>
  <si>
    <t xml:space="preserve">System Uptime</t>
  </si>
  <si>
    <t xml:space="preserve">99.9%</t>
  </si>
  <si>
    <t xml:space="preserve">Customer NPS</t>
  </si>
  <si>
    <t xml:space="preserve">&gt;70</t>
  </si>
  <si>
    <t xml:space="preserve">API Response Time</t>
  </si>
  <si>
    <t xml:space="preserve">&lt;100ms</t>
  </si>
  <si>
    <t xml:space="preserve">PHASE 1 MVP LAUNCH (Weeks 1-3)</t>
  </si>
  <si>
    <t xml:space="preserve">COMPONENT</t>
  </si>
  <si>
    <t xml:space="preserve">DESCRIPTION</t>
  </si>
  <si>
    <t xml:space="preserve">PRIORITY</t>
  </si>
  <si>
    <t xml:space="preserve">DAYS</t>
  </si>
  <si>
    <t xml:space="preserve">OWNER</t>
  </si>
  <si>
    <t xml:space="preserve">Sky Concierge Gemini</t>
  </si>
  <si>
    <t xml:space="preserve">Wire API to Gemini 1.5 Flash</t>
  </si>
  <si>
    <t xml:space="preserve">CRITICAL</t>
  </si>
  <si>
    <t xml:space="preserve">Lead Dev</t>
  </si>
  <si>
    <t xml:space="preserve">Booking Widget</t>
  </si>
  <si>
    <t xml:space="preserve">Multi-step form + document upload</t>
  </si>
  <si>
    <t xml:space="preserve">Fleet GPS Map</t>
  </si>
  <si>
    <t xml:space="preserve">Real-time vehicle tracking</t>
  </si>
  <si>
    <t xml:space="preserve">HIGH</t>
  </si>
  <si>
    <t xml:space="preserve">Admin Dashboard</t>
  </si>
  <si>
    <t xml:space="preserve">View bookings, manage fleet</t>
  </si>
  <si>
    <t xml:space="preserve">Senior Dev</t>
  </si>
  <si>
    <t xml:space="preserve">Database Schema</t>
  </si>
  <si>
    <t xml:space="preserve">Supabase setup + migrations</t>
  </si>
  <si>
    <t xml:space="preserve">DBA</t>
  </si>
  <si>
    <t xml:space="preserve">Authentication</t>
  </si>
  <si>
    <t xml:space="preserve">Supabase Auth integration</t>
  </si>
  <si>
    <t xml:space="preserve">Testing</t>
  </si>
  <si>
    <t xml:space="preserve">Unit + E2E tests</t>
  </si>
  <si>
    <t xml:space="preserve">QA Engineer</t>
  </si>
  <si>
    <t xml:space="preserve">Deployment</t>
  </si>
  <si>
    <t xml:space="preserve">Vercel setup + CI/CD</t>
  </si>
  <si>
    <t xml:space="preserve">DevOps</t>
  </si>
  <si>
    <t xml:space="preserve">TOTAL</t>
  </si>
  <si>
    <t xml:space="preserve">PHASE 2 BUSINESS AUTOMATION (Weeks 4-6)</t>
  </si>
  <si>
    <t xml:space="preserve">Annual Returns Module</t>
  </si>
  <si>
    <t xml:space="preserve">HMRC-compliant CSV/PDF</t>
  </si>
  <si>
    <t xml:space="preserve">Backend Dev</t>
  </si>
  <si>
    <t xml:space="preserve">Social Media Engine</t>
  </si>
  <si>
    <t xml:space="preserve">AI post scheduler 5x daily</t>
  </si>
  <si>
    <t xml:space="preserve">Frontend Dev</t>
  </si>
  <si>
    <t xml:space="preserve">Asset Creator</t>
  </si>
  <si>
    <t xml:space="preserve">Business card + letterhead</t>
  </si>
  <si>
    <t xml:space="preserve">MEDIUM</t>
  </si>
  <si>
    <t xml:space="preserve">Fleet Telematics</t>
  </si>
  <si>
    <t xml:space="preserve">Driver Habit Score calc</t>
  </si>
  <si>
    <t xml:space="preserve">Data Engineer</t>
  </si>
  <si>
    <t xml:space="preserve">Maintenance Alerts</t>
  </si>
  <si>
    <t xml:space="preserve">Alert based on aggressive driving</t>
  </si>
  <si>
    <t xml:space="preserve">Email Service</t>
  </si>
  <si>
    <t xml:space="preserve">SendGrid integration</t>
  </si>
  <si>
    <t xml:space="preserve">PHASE 3 LOCAL SEO DOMINANCE (Weeks 7-9)</t>
  </si>
  <si>
    <t xml:space="preserve">Local Landing Pages</t>
  </si>
  <si>
    <t xml:space="preserve">St Albans, Watford, Harpenden</t>
  </si>
  <si>
    <t xml:space="preserve">Content</t>
  </si>
  <si>
    <t xml:space="preserve">Schema Markup</t>
  </si>
  <si>
    <t xml:space="preserve">JSON-LD CarRental + LocalBusiness</t>
  </si>
  <si>
    <t xml:space="preserve">SEO Dev</t>
  </si>
  <si>
    <t xml:space="preserve">Google My Business</t>
  </si>
  <si>
    <t xml:space="preserve">Locations + review strategy</t>
  </si>
  <si>
    <t xml:space="preserve">Marketing</t>
  </si>
  <si>
    <t xml:space="preserve">ASO Optimization</t>
  </si>
  <si>
    <t xml:space="preserve">App Store + Google Play</t>
  </si>
  <si>
    <t xml:space="preserve">Backlink Strategy</t>
  </si>
  <si>
    <t xml:space="preserve">Local Herts partnerships</t>
  </si>
  <si>
    <t xml:space="preserve">Social Amplification</t>
  </si>
  <si>
    <t xml:space="preserve">Influencer + community posts</t>
  </si>
  <si>
    <t xml:space="preserve">Social</t>
  </si>
  <si>
    <t xml:space="preserve">RISK REGISTER &amp; MITIGATION</t>
  </si>
  <si>
    <t xml:space="preserve">RISK</t>
  </si>
  <si>
    <t xml:space="preserve">IMPACT</t>
  </si>
  <si>
    <t xml:space="preserve">MITIGATION</t>
  </si>
  <si>
    <t xml:space="preserve">AI API Cost Overrun</t>
  </si>
  <si>
    <t xml:space="preserve">Gemini billing spikes if traffic surges</t>
  </si>
  <si>
    <t xml:space="preserve">Implement rate limiting + budgets</t>
  </si>
  <si>
    <t xml:space="preserve">Tech Lead</t>
  </si>
  <si>
    <t xml:space="preserve">Supabase Free Tier Limits</t>
  </si>
  <si>
    <t xml:space="preserve">Database hits row limits with growth</t>
  </si>
  <si>
    <t xml:space="preserve">Plan migration to paid Week 5</t>
  </si>
  <si>
    <t xml:space="preserve">Document OCR Accuracy</t>
  </si>
  <si>
    <t xml:space="preserve">Misreads licenses, blocks bookings</t>
  </si>
  <si>
    <t xml:space="preserve">Use hybrid model (Vision + manual)</t>
  </si>
  <si>
    <t xml:space="preserve">QA</t>
  </si>
  <si>
    <t xml:space="preserve">Payment Processing Delays</t>
  </si>
  <si>
    <t xml:space="preserve">Stripe not ready by Phase 1</t>
  </si>
  <si>
    <t xml:space="preserve">Use manual payment queue</t>
  </si>
  <si>
    <t xml:space="preserve">Backend</t>
  </si>
  <si>
    <t xml:space="preserve">SEO Competitors React</t>
  </si>
  <si>
    <t xml:space="preserve">Rivals copy local strategy</t>
  </si>
  <si>
    <t xml:space="preserve">Build brand loyalty via service</t>
  </si>
  <si>
    <t xml:space="preserve">Developer Availability</t>
  </si>
  <si>
    <t xml:space="preserve">Key team member unavailable</t>
  </si>
  <si>
    <t xml:space="preserve">Cross-train 2 devs per component</t>
  </si>
  <si>
    <t xml:space="preserve">PM</t>
  </si>
  <si>
    <t xml:space="preserve">BUDGET &amp; RESOURCES ALLOCATION</t>
  </si>
  <si>
    <t xml:space="preserve">RESOURCE</t>
  </si>
  <si>
    <t xml:space="preserve">COST</t>
  </si>
  <si>
    <t xml:space="preserve">NOTES</t>
  </si>
  <si>
    <t xml:space="preserve">Vercel Pro 3mo</t>
  </si>
  <si>
    <t xml:space="preserve">1-3</t>
  </si>
  <si>
    <t xml:space="preserve">Auto-deploy + analytics</t>
  </si>
  <si>
    <t xml:space="preserve">Supabase Paid</t>
  </si>
  <si>
    <t xml:space="preserve">2-3</t>
  </si>
  <si>
    <t xml:space="preserve">Extra rows + support</t>
  </si>
  <si>
    <t xml:space="preserve">Google Maps API</t>
  </si>
  <si>
    <t xml:space="preserve">2</t>
  </si>
  <si>
    <t xml:space="preserve">Location services</t>
  </si>
  <si>
    <t xml:space="preserve">SendGrid Email</t>
  </si>
  <si>
    <t xml:space="preserve">Transactional</t>
  </si>
  <si>
    <t xml:space="preserve">Developer Team 12wk</t>
  </si>
  <si>
    <t xml:space="preserve">Salary + contractors</t>
  </si>
  <si>
    <t xml:space="preserve">QA &amp; Testing</t>
  </si>
  <si>
    <t xml:space="preserve">Automation + manual</t>
  </si>
  <si>
    <t xml:space="preserve">Marketing &amp; Design</t>
  </si>
  <si>
    <t xml:space="preserve">Assets + SMM</t>
  </si>
  <si>
    <t xml:space="preserve">Miscellaneous</t>
  </si>
  <si>
    <t xml:space="preserve">Tools + contingency</t>
  </si>
  <si>
    <t xml:space="preserve">TOTAL PROJECT COST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</si>
</sst>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2F33"/>
        <bgColor rgb="FF333300"/>
      </patternFill>
    </fill>
    <fill>
      <patternFill patternType="solid">
        <fgColor rgb="FF00CED1"/>
        <bgColor rgb="FF33CCCC"/>
      </patternFill>
    </fill>
    <fill>
      <patternFill patternType="solid">
        <fgColor rgb="FFE8F4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4444"/>
        <bgColor rgb="FFFF8080"/>
      </patternFill>
    </fill>
    <fill>
      <patternFill patternType="solid">
        <fgColor rgb="FFFFA500"/>
        <bgColor rgb="FFFFDD44"/>
      </patternFill>
    </fill>
    <fill>
      <patternFill patternType="solid">
        <fgColor rgb="FFFFDD44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ED1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D44"/>
      <rgbColor rgb="FFFFA500"/>
      <rgbColor rgb="FFFF444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1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9" customFormat="false" ht="15" hidden="false" customHeight="false" outlineLevel="0" collapsed="false">
      <c r="A9" s="3" t="s">
        <v>9</v>
      </c>
      <c r="B9" s="3" t="s">
        <v>10</v>
      </c>
      <c r="C9" s="3" t="s">
        <v>11</v>
      </c>
      <c r="D9" s="3" t="s">
        <v>12</v>
      </c>
    </row>
    <row r="10" customFormat="false" ht="15" hidden="false" customHeight="false" outlineLevel="0" collapsed="false">
      <c r="A10" s="4" t="s">
        <v>13</v>
      </c>
      <c r="B10" s="0" t="s">
        <v>14</v>
      </c>
      <c r="C10" s="0" t="s">
        <v>15</v>
      </c>
      <c r="D10" s="0" t="s">
        <v>16</v>
      </c>
    </row>
    <row r="11" customFormat="false" ht="15" hidden="false" customHeight="false" outlineLevel="0" collapsed="false">
      <c r="A11" s="4" t="s">
        <v>17</v>
      </c>
      <c r="B11" s="0" t="s">
        <v>14</v>
      </c>
      <c r="C11" s="0" t="s">
        <v>18</v>
      </c>
      <c r="D11" s="0" t="s">
        <v>19</v>
      </c>
    </row>
    <row r="12" customFormat="false" ht="15" hidden="false" customHeight="false" outlineLevel="0" collapsed="false">
      <c r="A12" s="4" t="s">
        <v>20</v>
      </c>
      <c r="B12" s="0" t="s">
        <v>14</v>
      </c>
      <c r="C12" s="0" t="s">
        <v>21</v>
      </c>
      <c r="D12" s="0" t="s">
        <v>22</v>
      </c>
    </row>
    <row r="14" customFormat="false" ht="15" hidden="false" customHeight="false" outlineLevel="0" collapsed="false">
      <c r="A14" s="3" t="s">
        <v>23</v>
      </c>
      <c r="B14" s="3" t="s">
        <v>24</v>
      </c>
      <c r="C14" s="3" t="s">
        <v>25</v>
      </c>
    </row>
    <row r="15" customFormat="false" ht="15" hidden="false" customHeight="false" outlineLevel="0" collapsed="false">
      <c r="A15" s="0" t="s">
        <v>26</v>
      </c>
      <c r="B15" s="0" t="s">
        <v>27</v>
      </c>
      <c r="C15" s="5" t="s">
        <v>28</v>
      </c>
    </row>
    <row r="16" customFormat="false" ht="15" hidden="false" customHeight="false" outlineLevel="0" collapsed="false">
      <c r="A16" s="0" t="s">
        <v>29</v>
      </c>
      <c r="B16" s="0" t="s">
        <v>30</v>
      </c>
      <c r="C16" s="5" t="s">
        <v>28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5" t="s">
        <v>28</v>
      </c>
    </row>
    <row r="18" customFormat="false" ht="15" hidden="false" customHeight="false" outlineLevel="0" collapsed="false">
      <c r="A18" s="0" t="s">
        <v>33</v>
      </c>
      <c r="B18" s="0" t="s">
        <v>34</v>
      </c>
      <c r="C18" s="5" t="s">
        <v>28</v>
      </c>
    </row>
    <row r="19" customFormat="false" ht="15" hidden="false" customHeight="false" outlineLevel="0" collapsed="false">
      <c r="A19" s="0" t="s">
        <v>35</v>
      </c>
      <c r="B19" s="0" t="s">
        <v>36</v>
      </c>
      <c r="C19" s="5" t="s">
        <v>28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5" t="s">
        <v>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6" t="s">
        <v>39</v>
      </c>
      <c r="B1" s="6"/>
      <c r="C1" s="6"/>
      <c r="D1" s="6"/>
      <c r="E1" s="6"/>
    </row>
    <row r="3" customFormat="false" ht="15" hidden="false" customHeight="false" outlineLevel="0" collapsed="false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</row>
    <row r="4" customFormat="false" ht="15" hidden="false" customHeight="false" outlineLevel="0" collapsed="false">
      <c r="A4" s="0" t="s">
        <v>45</v>
      </c>
      <c r="B4" s="0" t="s">
        <v>46</v>
      </c>
      <c r="C4" s="7" t="s">
        <v>47</v>
      </c>
      <c r="D4" s="0" t="n">
        <v>2</v>
      </c>
      <c r="E4" s="0" t="s">
        <v>48</v>
      </c>
    </row>
    <row r="5" customFormat="false" ht="15" hidden="false" customHeight="false" outlineLevel="0" collapsed="false">
      <c r="A5" s="0" t="s">
        <v>49</v>
      </c>
      <c r="B5" s="0" t="s">
        <v>50</v>
      </c>
      <c r="C5" s="7" t="s">
        <v>47</v>
      </c>
      <c r="D5" s="0" t="n">
        <v>3</v>
      </c>
      <c r="E5" s="0" t="s">
        <v>48</v>
      </c>
    </row>
    <row r="6" customFormat="false" ht="15" hidden="false" customHeight="false" outlineLevel="0" collapsed="false">
      <c r="A6" s="0" t="s">
        <v>51</v>
      </c>
      <c r="B6" s="0" t="s">
        <v>52</v>
      </c>
      <c r="C6" s="8" t="s">
        <v>53</v>
      </c>
      <c r="D6" s="0" t="n">
        <v>2</v>
      </c>
      <c r="E6" s="0" t="s">
        <v>48</v>
      </c>
    </row>
    <row r="7" customFormat="false" ht="15" hidden="false" customHeight="false" outlineLevel="0" collapsed="false">
      <c r="A7" s="0" t="s">
        <v>54</v>
      </c>
      <c r="B7" s="0" t="s">
        <v>55</v>
      </c>
      <c r="C7" s="8" t="s">
        <v>53</v>
      </c>
      <c r="D7" s="0" t="n">
        <v>3</v>
      </c>
      <c r="E7" s="0" t="s">
        <v>56</v>
      </c>
    </row>
    <row r="8" customFormat="false" ht="15" hidden="false" customHeight="false" outlineLevel="0" collapsed="false">
      <c r="A8" s="0" t="s">
        <v>57</v>
      </c>
      <c r="B8" s="0" t="s">
        <v>58</v>
      </c>
      <c r="C8" s="7" t="s">
        <v>47</v>
      </c>
      <c r="D8" s="0" t="n">
        <v>1</v>
      </c>
      <c r="E8" s="0" t="s">
        <v>59</v>
      </c>
    </row>
    <row r="9" customFormat="false" ht="15" hidden="false" customHeight="false" outlineLevel="0" collapsed="false">
      <c r="A9" s="0" t="s">
        <v>60</v>
      </c>
      <c r="B9" s="0" t="s">
        <v>61</v>
      </c>
      <c r="C9" s="7" t="s">
        <v>47</v>
      </c>
      <c r="D9" s="0" t="n">
        <v>1</v>
      </c>
      <c r="E9" s="0" t="s">
        <v>48</v>
      </c>
    </row>
    <row r="10" customFormat="false" ht="15" hidden="false" customHeight="false" outlineLevel="0" collapsed="false">
      <c r="A10" s="0" t="s">
        <v>62</v>
      </c>
      <c r="B10" s="0" t="s">
        <v>63</v>
      </c>
      <c r="C10" s="8" t="s">
        <v>53</v>
      </c>
      <c r="D10" s="0" t="n">
        <v>2</v>
      </c>
      <c r="E10" s="0" t="s">
        <v>64</v>
      </c>
    </row>
    <row r="11" customFormat="false" ht="15" hidden="false" customHeight="false" outlineLevel="0" collapsed="false">
      <c r="A11" s="0" t="s">
        <v>65</v>
      </c>
      <c r="B11" s="0" t="s">
        <v>66</v>
      </c>
      <c r="C11" s="7" t="s">
        <v>47</v>
      </c>
      <c r="D11" s="0" t="n">
        <v>1</v>
      </c>
      <c r="E11" s="0" t="s">
        <v>67</v>
      </c>
    </row>
    <row r="12" customFormat="false" ht="15" hidden="false" customHeight="false" outlineLevel="0" collapsed="false">
      <c r="A12" s="9" t="s">
        <v>68</v>
      </c>
      <c r="D12" s="9" t="n">
        <f aca="false">SUM(D4:D11)</f>
        <v>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6" t="s">
        <v>69</v>
      </c>
      <c r="B1" s="6"/>
      <c r="C1" s="6"/>
      <c r="D1" s="6"/>
      <c r="E1" s="6"/>
    </row>
    <row r="3" customFormat="false" ht="15" hidden="false" customHeight="false" outlineLevel="0" collapsed="false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</row>
    <row r="4" customFormat="false" ht="15" hidden="false" customHeight="false" outlineLevel="0" collapsed="false">
      <c r="A4" s="0" t="s">
        <v>70</v>
      </c>
      <c r="B4" s="0" t="s">
        <v>71</v>
      </c>
      <c r="C4" s="8" t="s">
        <v>53</v>
      </c>
      <c r="D4" s="0" t="n">
        <v>3</v>
      </c>
      <c r="E4" s="0" t="s">
        <v>72</v>
      </c>
    </row>
    <row r="5" customFormat="false" ht="15" hidden="false" customHeight="false" outlineLevel="0" collapsed="false">
      <c r="A5" s="0" t="s">
        <v>73</v>
      </c>
      <c r="B5" s="0" t="s">
        <v>74</v>
      </c>
      <c r="C5" s="8" t="s">
        <v>53</v>
      </c>
      <c r="D5" s="0" t="n">
        <v>2</v>
      </c>
      <c r="E5" s="0" t="s">
        <v>75</v>
      </c>
    </row>
    <row r="6" customFormat="false" ht="15" hidden="false" customHeight="false" outlineLevel="0" collapsed="false">
      <c r="A6" s="0" t="s">
        <v>76</v>
      </c>
      <c r="B6" s="0" t="s">
        <v>77</v>
      </c>
      <c r="C6" s="10" t="s">
        <v>78</v>
      </c>
      <c r="D6" s="0" t="n">
        <v>2</v>
      </c>
      <c r="E6" s="0" t="s">
        <v>75</v>
      </c>
    </row>
    <row r="7" customFormat="false" ht="15" hidden="false" customHeight="false" outlineLevel="0" collapsed="false">
      <c r="A7" s="0" t="s">
        <v>79</v>
      </c>
      <c r="B7" s="0" t="s">
        <v>80</v>
      </c>
      <c r="C7" s="8" t="s">
        <v>53</v>
      </c>
      <c r="D7" s="0" t="n">
        <v>3</v>
      </c>
      <c r="E7" s="0" t="s">
        <v>81</v>
      </c>
    </row>
    <row r="8" customFormat="false" ht="15" hidden="false" customHeight="false" outlineLevel="0" collapsed="false">
      <c r="A8" s="0" t="s">
        <v>82</v>
      </c>
      <c r="B8" s="0" t="s">
        <v>83</v>
      </c>
      <c r="C8" s="10" t="s">
        <v>78</v>
      </c>
      <c r="D8" s="0" t="n">
        <v>2</v>
      </c>
      <c r="E8" s="0" t="s">
        <v>72</v>
      </c>
    </row>
    <row r="9" customFormat="false" ht="15" hidden="false" customHeight="false" outlineLevel="0" collapsed="false">
      <c r="A9" s="0" t="s">
        <v>84</v>
      </c>
      <c r="B9" s="0" t="s">
        <v>85</v>
      </c>
      <c r="C9" s="7" t="s">
        <v>47</v>
      </c>
      <c r="D9" s="0" t="n">
        <v>1</v>
      </c>
      <c r="E9" s="0" t="s">
        <v>72</v>
      </c>
    </row>
    <row r="10" customFormat="false" ht="15" hidden="false" customHeight="false" outlineLevel="0" collapsed="false">
      <c r="A10" s="9" t="s">
        <v>68</v>
      </c>
      <c r="D10" s="9" t="n">
        <f aca="false">SUM(D4:D9)</f>
        <v>13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6" t="s">
        <v>86</v>
      </c>
      <c r="B1" s="6"/>
      <c r="C1" s="6"/>
      <c r="D1" s="6"/>
      <c r="E1" s="6"/>
    </row>
    <row r="3" customFormat="false" ht="15" hidden="false" customHeight="false" outlineLevel="0" collapsed="false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</row>
    <row r="4" customFormat="false" ht="15" hidden="false" customHeight="false" outlineLevel="0" collapsed="false">
      <c r="A4" s="0" t="s">
        <v>87</v>
      </c>
      <c r="B4" s="0" t="s">
        <v>88</v>
      </c>
      <c r="C4" s="8" t="s">
        <v>53</v>
      </c>
      <c r="D4" s="0" t="n">
        <v>3</v>
      </c>
      <c r="E4" s="0" t="s">
        <v>89</v>
      </c>
    </row>
    <row r="5" customFormat="false" ht="15" hidden="false" customHeight="false" outlineLevel="0" collapsed="false">
      <c r="A5" s="0" t="s">
        <v>90</v>
      </c>
      <c r="B5" s="0" t="s">
        <v>91</v>
      </c>
      <c r="C5" s="7" t="s">
        <v>47</v>
      </c>
      <c r="D5" s="0" t="n">
        <v>1</v>
      </c>
      <c r="E5" s="0" t="s">
        <v>92</v>
      </c>
    </row>
    <row r="6" customFormat="false" ht="15" hidden="false" customHeight="false" outlineLevel="0" collapsed="false">
      <c r="A6" s="0" t="s">
        <v>93</v>
      </c>
      <c r="B6" s="0" t="s">
        <v>94</v>
      </c>
      <c r="C6" s="8" t="s">
        <v>53</v>
      </c>
      <c r="D6" s="0" t="n">
        <v>2</v>
      </c>
      <c r="E6" s="0" t="s">
        <v>95</v>
      </c>
    </row>
    <row r="7" customFormat="false" ht="15" hidden="false" customHeight="false" outlineLevel="0" collapsed="false">
      <c r="A7" s="0" t="s">
        <v>96</v>
      </c>
      <c r="B7" s="0" t="s">
        <v>97</v>
      </c>
      <c r="C7" s="8" t="s">
        <v>53</v>
      </c>
      <c r="D7" s="0" t="n">
        <v>2</v>
      </c>
      <c r="E7" s="0" t="s">
        <v>95</v>
      </c>
    </row>
    <row r="8" customFormat="false" ht="15" hidden="false" customHeight="false" outlineLevel="0" collapsed="false">
      <c r="A8" s="0" t="s">
        <v>98</v>
      </c>
      <c r="B8" s="0" t="s">
        <v>99</v>
      </c>
      <c r="C8" s="10" t="s">
        <v>78</v>
      </c>
      <c r="D8" s="0" t="n">
        <v>3</v>
      </c>
      <c r="E8" s="0" t="s">
        <v>95</v>
      </c>
    </row>
    <row r="9" customFormat="false" ht="15" hidden="false" customHeight="false" outlineLevel="0" collapsed="false">
      <c r="A9" s="0" t="s">
        <v>100</v>
      </c>
      <c r="B9" s="0" t="s">
        <v>101</v>
      </c>
      <c r="C9" s="10" t="s">
        <v>78</v>
      </c>
      <c r="D9" s="0" t="n">
        <v>2</v>
      </c>
      <c r="E9" s="0" t="s">
        <v>102</v>
      </c>
    </row>
    <row r="10" customFormat="false" ht="15" hidden="false" customHeight="false" outlineLevel="0" collapsed="false">
      <c r="A10" s="9" t="s">
        <v>68</v>
      </c>
      <c r="D10" s="9" t="n">
        <f aca="false">SUM(D4:D9)</f>
        <v>13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35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1" t="s">
        <v>103</v>
      </c>
      <c r="B1" s="11"/>
      <c r="C1" s="11"/>
      <c r="D1" s="11"/>
      <c r="E1" s="11"/>
    </row>
    <row r="3" customFormat="false" ht="15" hidden="false" customHeight="false" outlineLevel="0" collapsed="false">
      <c r="A3" s="3" t="s">
        <v>104</v>
      </c>
      <c r="B3" s="3" t="s">
        <v>41</v>
      </c>
      <c r="C3" s="3" t="s">
        <v>105</v>
      </c>
      <c r="D3" s="3" t="s">
        <v>106</v>
      </c>
      <c r="E3" s="3" t="s">
        <v>44</v>
      </c>
    </row>
    <row r="4" customFormat="false" ht="15" hidden="false" customHeight="false" outlineLevel="0" collapsed="false">
      <c r="A4" s="0" t="s">
        <v>107</v>
      </c>
      <c r="B4" s="0" t="s">
        <v>108</v>
      </c>
      <c r="C4" s="7" t="s">
        <v>53</v>
      </c>
      <c r="D4" s="0" t="s">
        <v>109</v>
      </c>
      <c r="E4" s="0" t="s">
        <v>110</v>
      </c>
    </row>
    <row r="5" customFormat="false" ht="15" hidden="false" customHeight="false" outlineLevel="0" collapsed="false">
      <c r="A5" s="0" t="s">
        <v>111</v>
      </c>
      <c r="B5" s="0" t="s">
        <v>112</v>
      </c>
      <c r="C5" s="8" t="s">
        <v>78</v>
      </c>
      <c r="D5" s="0" t="s">
        <v>113</v>
      </c>
      <c r="E5" s="0" t="s">
        <v>59</v>
      </c>
    </row>
    <row r="6" customFormat="false" ht="15" hidden="false" customHeight="false" outlineLevel="0" collapsed="false">
      <c r="A6" s="0" t="s">
        <v>114</v>
      </c>
      <c r="B6" s="0" t="s">
        <v>115</v>
      </c>
      <c r="C6" s="7" t="s">
        <v>53</v>
      </c>
      <c r="D6" s="0" t="s">
        <v>116</v>
      </c>
      <c r="E6" s="0" t="s">
        <v>117</v>
      </c>
    </row>
    <row r="7" customFormat="false" ht="15" hidden="false" customHeight="false" outlineLevel="0" collapsed="false">
      <c r="A7" s="0" t="s">
        <v>118</v>
      </c>
      <c r="B7" s="0" t="s">
        <v>119</v>
      </c>
      <c r="C7" s="7" t="s">
        <v>53</v>
      </c>
      <c r="D7" s="0" t="s">
        <v>120</v>
      </c>
      <c r="E7" s="0" t="s">
        <v>121</v>
      </c>
    </row>
    <row r="8" customFormat="false" ht="15" hidden="false" customHeight="false" outlineLevel="0" collapsed="false">
      <c r="A8" s="0" t="s">
        <v>122</v>
      </c>
      <c r="B8" s="0" t="s">
        <v>123</v>
      </c>
      <c r="C8" s="8" t="s">
        <v>78</v>
      </c>
      <c r="D8" s="0" t="s">
        <v>124</v>
      </c>
      <c r="E8" s="0" t="s">
        <v>95</v>
      </c>
    </row>
    <row r="9" customFormat="false" ht="15" hidden="false" customHeight="false" outlineLevel="0" collapsed="false">
      <c r="A9" s="0" t="s">
        <v>125</v>
      </c>
      <c r="B9" s="0" t="s">
        <v>126</v>
      </c>
      <c r="C9" s="7" t="s">
        <v>53</v>
      </c>
      <c r="D9" s="0" t="s">
        <v>127</v>
      </c>
      <c r="E9" s="0" t="s">
        <v>128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2" t="s">
        <v>129</v>
      </c>
      <c r="B1" s="12"/>
      <c r="C1" s="12"/>
      <c r="D1" s="12"/>
    </row>
    <row r="3" customFormat="false" ht="15" hidden="false" customHeight="false" outlineLevel="0" collapsed="false">
      <c r="A3" s="2" t="s">
        <v>130</v>
      </c>
      <c r="B3" s="2" t="s">
        <v>131</v>
      </c>
      <c r="C3" s="2" t="s">
        <v>9</v>
      </c>
      <c r="D3" s="2" t="s">
        <v>132</v>
      </c>
    </row>
    <row r="4" customFormat="false" ht="15" hidden="false" customHeight="false" outlineLevel="0" collapsed="false">
      <c r="A4" s="0" t="s">
        <v>133</v>
      </c>
      <c r="B4" s="13" t="n">
        <v>30</v>
      </c>
      <c r="C4" s="0" t="s">
        <v>134</v>
      </c>
      <c r="D4" s="0" t="s">
        <v>135</v>
      </c>
    </row>
    <row r="5" customFormat="false" ht="15" hidden="false" customHeight="false" outlineLevel="0" collapsed="false">
      <c r="A5" s="0" t="s">
        <v>136</v>
      </c>
      <c r="B5" s="13" t="n">
        <v>75</v>
      </c>
      <c r="C5" s="0" t="s">
        <v>137</v>
      </c>
      <c r="D5" s="0" t="s">
        <v>138</v>
      </c>
    </row>
    <row r="6" customFormat="false" ht="15" hidden="false" customHeight="false" outlineLevel="0" collapsed="false">
      <c r="A6" s="0" t="s">
        <v>139</v>
      </c>
      <c r="B6" s="13" t="n">
        <v>50</v>
      </c>
      <c r="C6" s="0" t="s">
        <v>140</v>
      </c>
      <c r="D6" s="0" t="s">
        <v>141</v>
      </c>
    </row>
    <row r="7" customFormat="false" ht="15" hidden="false" customHeight="false" outlineLevel="0" collapsed="false">
      <c r="A7" s="0" t="s">
        <v>142</v>
      </c>
      <c r="B7" s="13" t="n">
        <v>40</v>
      </c>
      <c r="C7" s="0" t="s">
        <v>140</v>
      </c>
      <c r="D7" s="0" t="s">
        <v>143</v>
      </c>
    </row>
    <row r="8" customFormat="false" ht="15" hidden="false" customHeight="false" outlineLevel="0" collapsed="false">
      <c r="A8" s="0" t="s">
        <v>144</v>
      </c>
      <c r="B8" s="13" t="n">
        <v>30000</v>
      </c>
      <c r="C8" s="0" t="s">
        <v>134</v>
      </c>
      <c r="D8" s="0" t="s">
        <v>145</v>
      </c>
    </row>
    <row r="9" customFormat="false" ht="15" hidden="false" customHeight="false" outlineLevel="0" collapsed="false">
      <c r="A9" s="0" t="s">
        <v>146</v>
      </c>
      <c r="B9" s="13" t="n">
        <v>3000</v>
      </c>
      <c r="C9" s="0" t="s">
        <v>134</v>
      </c>
      <c r="D9" s="0" t="s">
        <v>147</v>
      </c>
    </row>
    <row r="10" customFormat="false" ht="15" hidden="false" customHeight="false" outlineLevel="0" collapsed="false">
      <c r="A10" s="0" t="s">
        <v>148</v>
      </c>
      <c r="B10" s="13" t="n">
        <v>2000</v>
      </c>
      <c r="C10" s="0" t="s">
        <v>134</v>
      </c>
      <c r="D10" s="0" t="s">
        <v>149</v>
      </c>
    </row>
    <row r="11" customFormat="false" ht="15" hidden="false" customHeight="false" outlineLevel="0" collapsed="false">
      <c r="A11" s="0" t="s">
        <v>150</v>
      </c>
      <c r="B11" s="13" t="n">
        <v>1000</v>
      </c>
      <c r="C11" s="0" t="s">
        <v>134</v>
      </c>
      <c r="D11" s="0" t="s">
        <v>151</v>
      </c>
    </row>
    <row r="12" customFormat="false" ht="15" hidden="false" customHeight="false" outlineLevel="0" collapsed="false">
      <c r="A12" s="3" t="s">
        <v>152</v>
      </c>
      <c r="B12" s="14" t="n">
        <f aca="false">SUM(B4:B11)</f>
        <v>36195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2026-04-02T23:17:40Z</dcterms:created>
  <dc:creator>openpyxl</dc:creator>
  <dc:description/>
  <dc:language>en-US</dc:language>
  <cp:lastModifiedBy/>
  <dcterms:modified xsi:type="dcterms:W3CDTF">2026-04-02T23:17:40Z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